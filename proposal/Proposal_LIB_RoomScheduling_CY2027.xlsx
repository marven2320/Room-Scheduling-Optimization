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M-RP Form 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b val="1"/>
      <i val="1"/>
      <sz val="9"/>
    </font>
    <font>
      <name val="Times New Roman"/>
      <b val="1"/>
      <i val="1"/>
      <sz val="11"/>
    </font>
    <font>
      <name val="Times New Roman"/>
      <i val="1"/>
      <sz val="10"/>
    </font>
    <font>
      <name val="Times New Roman"/>
      <b val="1"/>
      <sz val="10"/>
    </font>
    <font>
      <name val="Times New Roman"/>
      <i val="1"/>
      <color rgb="007F6000"/>
      <sz val="9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4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4" fontId="3" fillId="2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Proposal Assistant</author>
  </authors>
  <commentList>
    <comment ref="O17" authorId="0" shapeId="0">
      <text>
        <t>ENTER each person's actual monthly salary here (Php). Indirect cost (column N) is computed automatically using the RELE-based formula: (Monthly Salary / 18) x RELE units x 12 months, per BOR Resolution No. 295, s.2019. Left at 0 until filled in -- verify current payroll rates before submission. Note: total RELE requested (6 + 3x5 = 21 units) exceeds the 15-unit-per-project cap shown on the workbook's indirect cost calculator worksheet; confirm the RELE allocation with ORM before finalizing.</t>
      </text>
    </comment>
    <comment ref="M31" authorId="0" shapeId="0">
      <text>
        <t>Estimated publication/registration fee -- adjust to the actual target journal or conference.</t>
      </text>
    </comment>
    <comment ref="M36" authorId="0" shapeId="0">
      <text>
        <t>Estimated cost -- please verify against an actual supplier quotation before submission.</t>
      </text>
    </comment>
    <comment ref="M43" authorId="0" shapeId="0">
      <text>
        <t>Grand Total will increase once each team member's monthly salary is entered in the yellow cells above (column O) -- indirect cost currently computes to Php 0.00 with all salary cells at their placeholder value. With RA + publication fee + equipment only, the direct-cost floor is Php 287,505.60.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8580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P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" customWidth="1" min="3" max="3"/>
    <col width="18" customWidth="1" min="4" max="4"/>
    <col width="30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6" customWidth="1" min="15" max="15"/>
    <col width="10" customWidth="1" min="16" max="16"/>
  </cols>
  <sheetData>
    <row r="1" ht="8" customHeight="1"/>
    <row r="2" ht="14" customHeight="1"/>
    <row r="3" ht="14" customHeight="1"/>
    <row r="4" ht="14" customHeight="1"/>
    <row r="5" ht="14" customHeight="1"/>
    <row r="7" ht="34" customHeight="1">
      <c r="B7" s="1" t="inlineStr">
        <is>
          <t>RESEARCH PROJECT
LINE-ITEM BUDGET</t>
        </is>
      </c>
    </row>
    <row r="8">
      <c r="B8" s="2" t="inlineStr">
        <is>
          <t>CY 2027</t>
        </is>
      </c>
    </row>
    <row r="10">
      <c r="B10" s="3" t="inlineStr">
        <is>
          <t>Period Covered</t>
        </is>
      </c>
      <c r="C10" s="3" t="inlineStr">
        <is>
          <t>:</t>
        </is>
      </c>
      <c r="D10" s="4" t="inlineStr">
        <is>
          <t>January 1, 2027 - December 31, 2027</t>
        </is>
      </c>
    </row>
    <row r="11" ht="30" customHeight="1">
      <c r="B11" s="3" t="inlineStr">
        <is>
          <t>Project Title</t>
        </is>
      </c>
      <c r="C11" s="3" t="inlineStr">
        <is>
          <t>:</t>
        </is>
      </c>
      <c r="D11" s="5" t="inlineStr">
        <is>
          <t>Room Scheduling Optimization System: A Genetic Algorithm-Based Room, Faculty, and Class Scheduling System for the Department of Electrical Engineering, MSU-IIT</t>
        </is>
      </c>
    </row>
    <row r="12">
      <c r="B12" s="3" t="inlineStr">
        <is>
          <t>Project Leader</t>
        </is>
      </c>
      <c r="C12" s="3" t="inlineStr">
        <is>
          <t>:</t>
        </is>
      </c>
      <c r="D12" s="4" t="inlineStr">
        <is>
          <t>Marven E. Jabian, PhD</t>
        </is>
      </c>
    </row>
    <row r="13">
      <c r="B13" s="3" t="inlineStr">
        <is>
          <t>Funding Source</t>
        </is>
      </c>
      <c r="C13" s="3" t="inlineStr">
        <is>
          <t>:</t>
        </is>
      </c>
      <c r="D13" s="4" t="inlineStr">
        <is>
          <t>OVCRE funds</t>
        </is>
      </c>
    </row>
    <row r="15">
      <c r="L15" s="2" t="inlineStr">
        <is>
          <t>DIRECT COST</t>
        </is>
      </c>
      <c r="N15" s="2" t="inlineStr">
        <is>
          <t>INDIRECT COST</t>
        </is>
      </c>
    </row>
    <row r="16">
      <c r="B16" s="3" t="inlineStr">
        <is>
          <t>I.</t>
        </is>
      </c>
      <c r="C16" s="3" t="inlineStr">
        <is>
          <t>PERSONAL SERVICES</t>
        </is>
      </c>
      <c r="O16" s="6" t="inlineStr">
        <is>
          <t>Monthly Salary (₱) — PLEASE FILL IN</t>
        </is>
      </c>
    </row>
    <row r="17">
      <c r="E17" s="4" t="inlineStr">
        <is>
          <t>Project Leader: Marven E. Jabian, PhD</t>
        </is>
      </c>
      <c r="L17" s="7" t="inlineStr">
        <is>
          <t>6 units</t>
        </is>
      </c>
      <c r="N17" s="8">
        <f>O17/18*6*12</f>
        <v/>
      </c>
      <c r="O17" s="9" t="n">
        <v>0</v>
      </c>
    </row>
    <row r="18">
      <c r="E18" s="4" t="inlineStr">
        <is>
          <t>Project Member 1: Irish Mae Lariosa</t>
        </is>
      </c>
      <c r="L18" s="7" t="inlineStr">
        <is>
          <t>3 units</t>
        </is>
      </c>
      <c r="N18" s="8">
        <f>O18/18*3*12</f>
        <v/>
      </c>
      <c r="O18" s="9" t="n">
        <v>0</v>
      </c>
    </row>
    <row r="19">
      <c r="E19" s="4" t="inlineStr">
        <is>
          <t>Project Member 2: Lemuel John Tabada</t>
        </is>
      </c>
      <c r="L19" s="7" t="inlineStr">
        <is>
          <t>3 units</t>
        </is>
      </c>
      <c r="N19" s="8">
        <f>O19/18*3*12</f>
        <v/>
      </c>
      <c r="O19" s="9" t="n">
        <v>0</v>
      </c>
    </row>
    <row r="20">
      <c r="E20" s="4" t="inlineStr">
        <is>
          <t>Project Member 3: Mark Aron Verano</t>
        </is>
      </c>
      <c r="L20" s="7" t="inlineStr">
        <is>
          <t>3 units</t>
        </is>
      </c>
      <c r="N20" s="8">
        <f>O20/18*3*12</f>
        <v/>
      </c>
      <c r="O20" s="9" t="n">
        <v>0</v>
      </c>
    </row>
    <row r="21">
      <c r="E21" s="4" t="inlineStr">
        <is>
          <t>Project Member 4: Mara Mae Sabate</t>
        </is>
      </c>
      <c r="L21" s="7" t="inlineStr">
        <is>
          <t>3 units</t>
        </is>
      </c>
      <c r="N21" s="8">
        <f>O21/18*3*12</f>
        <v/>
      </c>
      <c r="O21" s="9" t="n">
        <v>0</v>
      </c>
    </row>
    <row r="22">
      <c r="E22" s="4" t="inlineStr">
        <is>
          <t>Project Member 5: Jeryl Wayco</t>
        </is>
      </c>
      <c r="L22" s="7" t="inlineStr">
        <is>
          <t>3 units</t>
        </is>
      </c>
      <c r="N22" s="8">
        <f>O22/18*3*12</f>
        <v/>
      </c>
      <c r="O22" s="9" t="n">
        <v>0</v>
      </c>
    </row>
    <row r="24">
      <c r="E24" s="10" t="inlineStr">
        <is>
          <t>Other General Services</t>
        </is>
      </c>
    </row>
    <row r="25">
      <c r="F25" s="4" t="inlineStr">
        <is>
          <t>One (1) Research Assistant @ ₱15,208.80 x 12 months</t>
        </is>
      </c>
      <c r="M25" s="8">
        <f>15208.8*12</f>
        <v/>
      </c>
    </row>
    <row r="27">
      <c r="L27" s="11" t="inlineStr">
        <is>
          <t>Total PS</t>
        </is>
      </c>
      <c r="M27" s="12">
        <f>SUM(M17:M25)</f>
        <v/>
      </c>
      <c r="N27" s="12">
        <f>SUM(N17:N22)</f>
        <v/>
      </c>
    </row>
    <row r="29">
      <c r="B29" s="3" t="inlineStr">
        <is>
          <t>II.</t>
        </is>
      </c>
      <c r="C29" s="3" t="inlineStr">
        <is>
          <t>MAINTENANCE AND OTHER OPERATING EXPENSES</t>
        </is>
      </c>
    </row>
    <row r="30">
      <c r="E30" s="4" t="inlineStr">
        <is>
          <t>Other Professional Services (Please itemize)</t>
        </is>
      </c>
    </row>
    <row r="31">
      <c r="F31" s="4" t="inlineStr">
        <is>
          <t>Registration and publication fee — one (1) journal/conference paper</t>
        </is>
      </c>
      <c r="M31" s="13" t="n">
        <v>30000</v>
      </c>
    </row>
    <row r="33">
      <c r="K33" s="11" t="inlineStr">
        <is>
          <t>Total MOOE</t>
        </is>
      </c>
      <c r="M33" s="12">
        <f>SUM(M30:M31)</f>
        <v/>
      </c>
    </row>
    <row r="35">
      <c r="B35" s="3" t="inlineStr">
        <is>
          <t>III.</t>
        </is>
      </c>
      <c r="C35" s="3" t="inlineStr">
        <is>
          <t>EQUIPMENT OUTLAY</t>
        </is>
      </c>
    </row>
    <row r="36">
      <c r="E36" s="5" t="inlineStr">
        <is>
          <t>One (1) Server/Workstation for hosting, testing, and pilot deployment of the scheduling system</t>
        </is>
      </c>
      <c r="M36" s="13" t="n">
        <v>75000</v>
      </c>
    </row>
    <row r="37">
      <c r="F37" s="14" t="inlineStr">
        <is>
          <t>Processor: multi-core (≥ 8-core), 32GB RAM minimum</t>
        </is>
      </c>
    </row>
    <row r="38">
      <c r="F38" s="14" t="inlineStr">
        <is>
          <t>Storage: 1TB SSD</t>
        </is>
      </c>
    </row>
    <row r="39">
      <c r="F39" s="14" t="inlineStr">
        <is>
          <t>OS: Linux/Windows Server, for hosting the scheduling web app</t>
        </is>
      </c>
    </row>
    <row r="40">
      <c r="L40" s="11" t="inlineStr">
        <is>
          <t>Total EO</t>
        </is>
      </c>
      <c r="M40" s="12">
        <f>SUM(M36:M36)</f>
        <v/>
      </c>
    </row>
    <row r="42">
      <c r="J42" s="11" t="inlineStr">
        <is>
          <t>TOTAL (Direct Cost)</t>
        </is>
      </c>
      <c r="M42" s="12">
        <f>M27+M33+M40</f>
        <v/>
      </c>
    </row>
    <row r="43">
      <c r="F43" s="11" t="inlineStr">
        <is>
          <t>GRAND TOTAL (Direct Cost + Indirect Cost)</t>
        </is>
      </c>
      <c r="M43" s="12">
        <f>M27+M33+M40+N27</f>
        <v/>
      </c>
    </row>
    <row r="46">
      <c r="B46" s="4" t="inlineStr">
        <is>
          <t>Marven E. Jabian, PhD</t>
        </is>
      </c>
    </row>
    <row r="47">
      <c r="B47" s="14" t="inlineStr">
        <is>
          <t>Project Leader</t>
        </is>
      </c>
    </row>
    <row r="49">
      <c r="B49" s="3" t="inlineStr">
        <is>
          <t>Recommending Approval:</t>
        </is>
      </c>
    </row>
    <row r="52">
      <c r="B52" s="4" t="inlineStr">
        <is>
          <t>ARNOLD C. ALGUNO, D.Sc.</t>
        </is>
      </c>
      <c r="J52" s="4" t="inlineStr">
        <is>
          <t>EPHRIME B. METILLO, PH.D.</t>
        </is>
      </c>
    </row>
    <row r="53">
      <c r="B53" s="14" t="inlineStr">
        <is>
          <t>Director, Office of Research Management</t>
        </is>
      </c>
      <c r="J53" s="14" t="inlineStr">
        <is>
          <t>VC for Research and Enterprise</t>
        </is>
      </c>
    </row>
    <row r="56">
      <c r="G56" s="3" t="inlineStr">
        <is>
          <t>Approved by:</t>
        </is>
      </c>
    </row>
    <row r="59">
      <c r="G59" s="4" t="inlineStr">
        <is>
          <t>ALIZEDNEY M. DITUCALAN, JD, LLM</t>
        </is>
      </c>
    </row>
    <row r="60">
      <c r="G60" s="14" t="inlineStr">
        <is>
          <t>Chancellor</t>
        </is>
      </c>
    </row>
    <row r="63">
      <c r="B63" s="15" t="inlineStr">
        <is>
          <t>Legend:</t>
        </is>
      </c>
    </row>
    <row r="64">
      <c r="B64" s="16" t="inlineStr">
        <is>
          <t>Yellow-highlighted cells (Monthly Salary, Equipment cost, Publication fee) are estimates/placeholders — please review and fill in actual figures before submission.</t>
        </is>
      </c>
    </row>
  </sheetData>
  <mergeCells count="8">
    <mergeCell ref="B7:P7"/>
    <mergeCell ref="B64:P64"/>
    <mergeCell ref="D10:K10"/>
    <mergeCell ref="O16"/>
    <mergeCell ref="D13:K13"/>
    <mergeCell ref="B8:P8"/>
    <mergeCell ref="D11:P11"/>
    <mergeCell ref="D12:K12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2026-08-25T07:40:18Z</dcterms:created>
  <dcterms:modified xmlns:dcterms="http://purl.org/dc/terms/" xmlns:xsi="http://www.w3.org/2001/XMLSchema-instance" xsi:type="dcterms:W3CDTF">2026-08-25T07:40:18Z</dcterms:modified>
</cp:coreProperties>
</file>